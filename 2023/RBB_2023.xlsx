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My Drive\RBB\RBBWins\RBBWins\2023\"/>
    </mc:Choice>
  </mc:AlternateContent>
  <xr:revisionPtr revIDLastSave="0" documentId="13_ncr:1_{9746B5E6-7B55-404D-801B-FBD23BEA00D4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J27" i="2"/>
  <c r="J25" i="2"/>
  <c r="J26" i="2"/>
  <c r="J28" i="2"/>
  <c r="J29" i="2"/>
  <c r="J30" i="2"/>
  <c r="J32" i="2"/>
  <c r="J31" i="2"/>
  <c r="J33" i="2"/>
  <c r="J34" i="2"/>
  <c r="J23" i="2"/>
  <c r="X3" i="1"/>
  <c r="X5" i="1"/>
  <c r="X10" i="1"/>
  <c r="X6" i="1"/>
  <c r="X11" i="1"/>
  <c r="X8" i="1"/>
  <c r="X4" i="1"/>
  <c r="X2" i="1"/>
  <c r="X9" i="1"/>
  <c r="X12" i="1"/>
  <c r="X7" i="1"/>
  <c r="X13" i="1"/>
  <c r="Z3" i="1"/>
  <c r="Z5" i="1"/>
  <c r="Z10" i="1"/>
  <c r="Z6" i="1"/>
  <c r="Z11" i="1"/>
  <c r="Z8" i="1"/>
  <c r="Z4" i="1"/>
  <c r="Z2" i="1"/>
  <c r="Z9" i="1"/>
  <c r="Z12" i="1"/>
  <c r="Z7" i="1"/>
  <c r="Z13" i="1"/>
  <c r="AB3" i="1"/>
  <c r="AB5" i="1"/>
  <c r="AB10" i="1"/>
  <c r="AB6" i="1"/>
  <c r="AB11" i="1"/>
  <c r="AB8" i="1"/>
  <c r="AB4" i="1"/>
  <c r="AB2" i="1"/>
  <c r="AB9" i="1"/>
  <c r="AB12" i="1"/>
  <c r="AB7" i="1"/>
  <c r="AB13" i="1"/>
  <c r="AD3" i="1"/>
  <c r="AD5" i="1"/>
  <c r="AD10" i="1"/>
  <c r="AD6" i="1"/>
  <c r="AD11" i="1"/>
  <c r="AD8" i="1"/>
  <c r="AD4" i="1"/>
  <c r="AD2" i="1"/>
  <c r="AD9" i="1"/>
  <c r="AD12" i="1"/>
  <c r="AD7" i="1"/>
  <c r="AD13" i="1"/>
  <c r="AF3" i="1"/>
  <c r="C3" i="1" s="1"/>
  <c r="AF5" i="1"/>
  <c r="C5" i="1" s="1"/>
  <c r="AF10" i="1"/>
  <c r="C10" i="1" s="1"/>
  <c r="AF6" i="1"/>
  <c r="C6" i="1" s="1"/>
  <c r="AF11" i="1"/>
  <c r="C11" i="1" s="1"/>
  <c r="AF8" i="1"/>
  <c r="C8" i="1" s="1"/>
  <c r="AF4" i="1"/>
  <c r="C4" i="1" s="1"/>
  <c r="AF2" i="1"/>
  <c r="C2" i="1" s="1"/>
  <c r="AF9" i="1"/>
  <c r="C9" i="1" s="1"/>
  <c r="AF12" i="1"/>
  <c r="C12" i="1" s="1"/>
  <c r="AF7" i="1"/>
  <c r="C7" i="1" s="1"/>
  <c r="AF13" i="1"/>
  <c r="C13" i="1" s="1"/>
  <c r="V3" i="1"/>
  <c r="V5" i="1"/>
  <c r="V10" i="1"/>
  <c r="V6" i="1"/>
  <c r="V11" i="1"/>
  <c r="V8" i="1"/>
  <c r="V4" i="1"/>
  <c r="V2" i="1"/>
  <c r="V9" i="1"/>
  <c r="V12" i="1"/>
  <c r="V7" i="1"/>
  <c r="V14" i="1" s="1"/>
  <c r="V13" i="1"/>
  <c r="B14" i="1"/>
  <c r="T7" i="1"/>
  <c r="T13" i="1"/>
  <c r="T12" i="1"/>
  <c r="T5" i="1"/>
  <c r="T10" i="1"/>
  <c r="T6" i="1"/>
  <c r="T11" i="1"/>
  <c r="T8" i="1"/>
  <c r="T4" i="1"/>
  <c r="T2" i="1"/>
  <c r="T9" i="1"/>
  <c r="P8" i="1"/>
  <c r="T3" i="1"/>
  <c r="R5" i="1"/>
  <c r="R10" i="1"/>
  <c r="R6" i="1"/>
  <c r="R11" i="1"/>
  <c r="R8" i="1"/>
  <c r="R4" i="1"/>
  <c r="R2" i="1"/>
  <c r="R9" i="1"/>
  <c r="R12" i="1"/>
  <c r="R7" i="1"/>
  <c r="R13" i="1"/>
  <c r="R3" i="1"/>
  <c r="P5" i="1"/>
  <c r="P10" i="1"/>
  <c r="P6" i="1"/>
  <c r="P11" i="1"/>
  <c r="P4" i="1"/>
  <c r="P2" i="1"/>
  <c r="P9" i="1"/>
  <c r="P12" i="1"/>
  <c r="P7" i="1"/>
  <c r="P13" i="1"/>
  <c r="P3" i="1"/>
  <c r="N5" i="1"/>
  <c r="N10" i="1"/>
  <c r="N6" i="1"/>
  <c r="N11" i="1"/>
  <c r="N8" i="1"/>
  <c r="N4" i="1"/>
  <c r="N2" i="1"/>
  <c r="N9" i="1"/>
  <c r="N12" i="1"/>
  <c r="N7" i="1"/>
  <c r="N13" i="1"/>
  <c r="L5" i="1"/>
  <c r="L10" i="1"/>
  <c r="L6" i="1"/>
  <c r="L11" i="1"/>
  <c r="L8" i="1"/>
  <c r="L4" i="1"/>
  <c r="L2" i="1"/>
  <c r="L9" i="1"/>
  <c r="L12" i="1"/>
  <c r="L7" i="1"/>
  <c r="L13" i="1"/>
  <c r="J5" i="1"/>
  <c r="J10" i="1"/>
  <c r="J6" i="1"/>
  <c r="J11" i="1"/>
  <c r="J8" i="1"/>
  <c r="J4" i="1"/>
  <c r="J2" i="1"/>
  <c r="J9" i="1"/>
  <c r="J12" i="1"/>
  <c r="J7" i="1"/>
  <c r="J13" i="1"/>
  <c r="J3" i="1"/>
  <c r="L3" i="1"/>
  <c r="N3" i="1"/>
  <c r="H5" i="1"/>
  <c r="H10" i="1"/>
  <c r="H6" i="1"/>
  <c r="H11" i="1"/>
  <c r="H8" i="1"/>
  <c r="H4" i="1"/>
  <c r="H2" i="1"/>
  <c r="H9" i="1"/>
  <c r="H12" i="1"/>
  <c r="H7" i="1"/>
  <c r="H13" i="1"/>
  <c r="H3" i="1"/>
  <c r="F3" i="1"/>
  <c r="F5" i="1"/>
  <c r="F10" i="1"/>
  <c r="F6" i="1"/>
  <c r="F11" i="1"/>
  <c r="F8" i="1"/>
  <c r="F4" i="1"/>
  <c r="F2" i="1"/>
  <c r="F9" i="1"/>
  <c r="F12" i="1"/>
  <c r="F7" i="1"/>
  <c r="F13" i="1"/>
  <c r="D2" i="1" l="1"/>
  <c r="D12" i="1"/>
  <c r="D4" i="1"/>
  <c r="D8" i="1"/>
  <c r="D11" i="1"/>
  <c r="D6" i="1"/>
  <c r="D13" i="1"/>
  <c r="D10" i="1"/>
  <c r="D5" i="1"/>
  <c r="D3" i="1"/>
  <c r="D9" i="1"/>
  <c r="D7" i="1"/>
  <c r="D14" i="1" l="1"/>
  <c r="C14" i="1"/>
</calcChain>
</file>

<file path=xl/sharedStrings.xml><?xml version="1.0" encoding="utf-8"?>
<sst xmlns="http://schemas.openxmlformats.org/spreadsheetml/2006/main" count="89" uniqueCount="57">
  <si>
    <t>Bed Bath &amp; Bijan</t>
  </si>
  <si>
    <t>Catalina Wine Mixon</t>
  </si>
  <si>
    <t>Spruce Moose</t>
  </si>
  <si>
    <t>Meowseph Stalin</t>
  </si>
  <si>
    <t>The Jackson 4</t>
  </si>
  <si>
    <t>Okayest FC</t>
  </si>
  <si>
    <t>Bone G</t>
  </si>
  <si>
    <t>BaCarrdi Rum</t>
  </si>
  <si>
    <t>RedTube Zone</t>
  </si>
  <si>
    <t>Triples is Best</t>
  </si>
  <si>
    <t>Mixon a Water</t>
  </si>
  <si>
    <t>Waller you doing step bro?</t>
  </si>
  <si>
    <t>Matchup Wins</t>
  </si>
  <si>
    <t>Points Wins</t>
  </si>
  <si>
    <t>Week 1 Score</t>
  </si>
  <si>
    <t>Week 2 Score</t>
  </si>
  <si>
    <t>Week 3 Score</t>
  </si>
  <si>
    <t>Week 4 Score</t>
  </si>
  <si>
    <t>Week 5 Score</t>
  </si>
  <si>
    <t>Week 1 Rank</t>
  </si>
  <si>
    <t>Week 4 Rank</t>
  </si>
  <si>
    <t>Week 5 Rank</t>
  </si>
  <si>
    <t>Week 3 Rank</t>
  </si>
  <si>
    <t>Week 2 Rank</t>
  </si>
  <si>
    <t>Total Wins</t>
  </si>
  <si>
    <t>Team</t>
  </si>
  <si>
    <t>Position</t>
  </si>
  <si>
    <t>Week 6 Score</t>
  </si>
  <si>
    <t>Week 6 Rank</t>
  </si>
  <si>
    <t>Week 7 Score</t>
  </si>
  <si>
    <t>Week 7 Rank</t>
  </si>
  <si>
    <t>Week 8 Rank</t>
  </si>
  <si>
    <t>Week 8 Score</t>
  </si>
  <si>
    <t>Total</t>
  </si>
  <si>
    <t>Week 9 Rank</t>
  </si>
  <si>
    <t>Week 9 Score</t>
  </si>
  <si>
    <t>Week 10 Score</t>
  </si>
  <si>
    <t>Week 10 Rank</t>
  </si>
  <si>
    <t>Week 11 Score</t>
  </si>
  <si>
    <t>Week 11 Rank</t>
  </si>
  <si>
    <t>Week 12 Score</t>
  </si>
  <si>
    <t>Week 12 Rank</t>
  </si>
  <si>
    <t>Week 13 Score</t>
  </si>
  <si>
    <t>Week 13 Rank</t>
  </si>
  <si>
    <t>Week 14 Rank</t>
  </si>
  <si>
    <t>Week 14 Score</t>
  </si>
  <si>
    <t>Matchup Position</t>
  </si>
  <si>
    <t>Final Position</t>
  </si>
  <si>
    <t>Difference</t>
  </si>
  <si>
    <t>Tiebreaker</t>
  </si>
  <si>
    <t>Matchup Tie &gt; Points For Win</t>
  </si>
  <si>
    <t>Matchup Tie &gt; Points For Loss</t>
  </si>
  <si>
    <t>Matchup Win</t>
  </si>
  <si>
    <t>Matchup Loss</t>
  </si>
  <si>
    <t>Matchup Win (BBB), Matchup Tie &gt; Points For Win</t>
  </si>
  <si>
    <t>Matchup Win (BBB), Matchup Tie &gt; Points For Loss</t>
  </si>
  <si>
    <t>Matchup Loss (BG), Matchup Loss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</si>
</sst>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8"/>
      <name val="Tw Cen MT"/>
      <family val="2"/>
      <scheme val="minor"/>
    </font>
    <font>
      <b/>
      <sz val="11"/>
      <color theme="1"/>
      <name val="Arial Black"/>
      <family val="2"/>
    </font>
    <font>
      <b/>
      <sz val="11"/>
      <color theme="0"/>
      <name val="Arial Black"/>
      <family val="2"/>
    </font>
    <font>
      <sz val="11"/>
      <color theme="1"/>
      <name val="Arial Black"/>
      <family val="2"/>
    </font>
    <font>
      <b/>
      <sz val="11"/>
      <color theme="1"/>
      <name val="Chiller"/>
      <family val="5"/>
    </font>
    <font>
      <b/>
      <sz val="11"/>
      <color theme="1"/>
      <name val="Bahnschrift SemiCondensed"/>
      <family val="2"/>
    </font>
    <font>
      <b/>
      <sz val="11"/>
      <color theme="1"/>
      <name val="Broadway"/>
      <family val="5"/>
    </font>
    <font>
      <b/>
      <sz val="11"/>
      <color theme="1"/>
      <name val="Wingdings"/>
      <charset val="2"/>
    </font>
    <font>
      <b/>
      <sz val="11"/>
      <color theme="1"/>
      <name val="Constantia"/>
      <family val="1"/>
    </font>
    <font>
      <b/>
      <sz val="11"/>
      <color theme="1"/>
      <name val="Comic Sans MS"/>
      <family val="4"/>
    </font>
    <font>
      <b/>
      <sz val="11"/>
      <color theme="1"/>
      <name val="Ravie"/>
      <family val="5"/>
    </font>
    <font>
      <b/>
      <sz val="11"/>
      <color theme="1"/>
      <name val="Forte Forward"/>
    </font>
    <font>
      <b/>
      <sz val="11"/>
      <color theme="1"/>
      <name val="STHupo"/>
      <charset val="134"/>
    </font>
    <font>
      <b/>
      <sz val="11"/>
      <color theme="1"/>
      <name val="Century Gothic"/>
      <family val="2"/>
    </font>
    <font>
      <b/>
      <sz val="11"/>
      <color theme="1"/>
      <name val="Bookman Old Style"/>
      <family val="1"/>
    </font>
    <font>
      <b/>
      <sz val="11"/>
      <color theme="1"/>
      <name val="GOST Common"/>
      <family val="2"/>
    </font>
    <font>
      <b/>
      <sz val="11"/>
      <name val="Arial Black"/>
      <family val="2"/>
    </font>
    <font>
      <b/>
      <sz val="11"/>
      <color theme="8"/>
      <name val="Arial Black"/>
      <family val="2"/>
    </font>
    <font>
      <b/>
      <sz val="11"/>
      <color theme="6" tint="-0.249977111117893"/>
      <name val="Arial Black"/>
      <family val="2"/>
    </font>
    <font>
      <sz val="1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2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77">
    <dxf>
      <font>
        <b val="0"/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Black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Black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2477C-ADBA-44F3-B9BA-F2BBC8C33C5B}" name="Table2" displayName="Table2" ref="A1:AF14" totalsRowCount="1" dataDxfId="76">
  <autoFilter ref="A1:AF13" xr:uid="{4162477C-ADBA-44F3-B9BA-F2BBC8C33C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sortState xmlns:xlrd2="http://schemas.microsoft.com/office/spreadsheetml/2017/richdata2" ref="A2:AF13">
    <sortCondition ref="A2:A13"/>
  </sortState>
  <tableColumns count="32">
    <tableColumn id="1" xr3:uid="{96AD1359-0F54-4685-A70A-68E13DBDEA33}" name="Team" totalsRowLabel="Total" dataDxfId="75" totalsRowDxfId="41"/>
    <tableColumn id="2" xr3:uid="{159CFBFD-9C8F-4D21-84DA-FF4D318AC892}" name="Matchup Wins" totalsRowFunction="sum" dataDxfId="74" totalsRowDxfId="40"/>
    <tableColumn id="3" xr3:uid="{470E8B81-E69F-4CAF-9302-78303B8A93AE}" name="Points Wins" totalsRowFunction="sum" dataDxfId="42" totalsRowDxfId="39">
      <calculatedColumnFormula>IF(F2&lt;=6,1,0)+IF(H2&lt;=6,1,0)+IF(J2&lt;=6,1,0)+IF(L2&lt;=6,1,0)+IF(N2&lt;=6,1,0)+IF(P2&lt;=6,1,0)+IF(R2&lt;=6,1,0)+IF(T2&lt;=6,1,0)+IF(V2&lt;=6,1,0)+IF(X2&lt;=6,1,0)+IF(Z2&lt;=6,1,0)+IF(AB2&lt;=6,1,0)+IF(AD2&lt;=6,1,0)+IF(AF2&lt;=6,1,0)</calculatedColumnFormula>
    </tableColumn>
    <tableColumn id="4" xr3:uid="{EC897DD8-A545-42A5-B145-273EA3DF477C}" name="Total Wins" totalsRowFunction="sum" dataDxfId="73" totalsRowDxfId="38">
      <calculatedColumnFormula>B2+C2</calculatedColumnFormula>
    </tableColumn>
    <tableColumn id="5" xr3:uid="{EE9A6436-4FA5-4E62-993E-A7148EE88CF3}" name="Week 1 Score" dataDxfId="72" totalsRowDxfId="37"/>
    <tableColumn id="6" xr3:uid="{E0046B21-D630-4C83-9695-B804FFF2FB15}" name="Week 1 Rank" dataDxfId="71" totalsRowDxfId="36">
      <calculatedColumnFormula>_xlfn.RANK.AVG(E2,$E$2:$E$13)</calculatedColumnFormula>
    </tableColumn>
    <tableColumn id="7" xr3:uid="{F96EB2C5-0BD6-420B-A21B-ED2626A6C147}" name="Week 2 Score" dataDxfId="70" totalsRowDxfId="35"/>
    <tableColumn id="8" xr3:uid="{B378BD6C-4100-4AD1-A5D0-A97A3A5D0C18}" name="Week 2 Rank" dataDxfId="69" totalsRowDxfId="34">
      <calculatedColumnFormula>_xlfn.RANK.AVG(G2,$G$2:$G$13)</calculatedColumnFormula>
    </tableColumn>
    <tableColumn id="9" xr3:uid="{60B2D672-5B8B-492F-AA70-0BB9A21A48C3}" name="Week 3 Score" dataDxfId="68" totalsRowDxfId="33"/>
    <tableColumn id="10" xr3:uid="{430DF5CD-5F99-46C8-A253-58E833557686}" name="Week 3 Rank" dataDxfId="67" totalsRowDxfId="32">
      <calculatedColumnFormula>_xlfn.RANK.AVG(I2,$I$2:$I$13)</calculatedColumnFormula>
    </tableColumn>
    <tableColumn id="11" xr3:uid="{96DCEEF7-DA5B-456C-8D92-59EBBB4E576C}" name="Week 4 Score" dataDxfId="66" totalsRowDxfId="31"/>
    <tableColumn id="12" xr3:uid="{DE7D9CB2-128E-4B41-9C6B-976A64884800}" name="Week 4 Rank" dataDxfId="65" totalsRowDxfId="30">
      <calculatedColumnFormula>_xlfn.RANK.AVG(K2,$K$2:$K$13)</calculatedColumnFormula>
    </tableColumn>
    <tableColumn id="13" xr3:uid="{DE933E17-AE1F-48EC-A2BD-0FE86FC55D3F}" name="Week 5 Score" dataDxfId="64"/>
    <tableColumn id="14" xr3:uid="{F37962FA-553D-4313-9EB3-0A13F6538A83}" name="Week 5 Rank" dataDxfId="63" totalsRowDxfId="29">
      <calculatedColumnFormula>_xlfn.RANK.AVG(M2,$M$2:$M$13)</calculatedColumnFormula>
    </tableColumn>
    <tableColumn id="15" xr3:uid="{7BEDEE27-54C4-4ABB-A416-3BB31D0B5927}" name="Week 6 Score"/>
    <tableColumn id="16" xr3:uid="{33FC001D-D7FD-4D41-BFEB-BB61F91EE758}" name="Week 6 Rank" dataDxfId="62" totalsRowDxfId="28">
      <calculatedColumnFormula>_xlfn.RANK.AVG(O2,$O$2:$O$13)</calculatedColumnFormula>
    </tableColumn>
    <tableColumn id="17" xr3:uid="{2F30FFB0-2210-48C5-BDEA-E3EFBAB68227}" name="Week 7 Score"/>
    <tableColumn id="18" xr3:uid="{E46AE293-9D07-4F9A-9765-6460AD863764}" name="Week 7 Rank" dataDxfId="61" totalsRowDxfId="27">
      <calculatedColumnFormula>_xlfn.RANK.AVG(Q2,$Q$2:$Q$13)</calculatedColumnFormula>
    </tableColumn>
    <tableColumn id="19" xr3:uid="{16B47BE1-1AC4-4864-8C27-5F3342D9BCC1}" name="Week 8 Score"/>
    <tableColumn id="20" xr3:uid="{5FC66CF7-9EE5-4900-8C45-C05F591A8ACA}" name="Week 8 Rank" dataDxfId="60" totalsRowDxfId="26">
      <calculatedColumnFormula>_xlfn.RANK.AVG(S2,$S$2:$S$13)</calculatedColumnFormula>
    </tableColumn>
    <tableColumn id="21" xr3:uid="{2D332520-E514-4FAE-A8D2-A07AA89BEBA5}" name="Week 9 Score" dataDxfId="59" totalsRowDxfId="25"/>
    <tableColumn id="22" xr3:uid="{3CDEAF1F-5168-4386-8DE5-66ACC7A722CB}" name="Week 9 Rank" totalsRowFunction="sum" dataDxfId="58" totalsRowDxfId="24">
      <calculatedColumnFormula>_xlfn.RANK.AVG(U2,$U$2:$U$13)</calculatedColumnFormula>
    </tableColumn>
    <tableColumn id="23" xr3:uid="{3C386EA2-1A55-4717-8F62-0CDD2159C5B3}" name="Week 10 Score" dataDxfId="57" totalsRowDxfId="23"/>
    <tableColumn id="24" xr3:uid="{CE05D4DF-9EFE-48FD-9456-2FCD73FE9FB7}" name="Week 10 Rank" dataDxfId="56" totalsRowDxfId="22">
      <calculatedColumnFormula>_xlfn.RANK.AVG(W2,$W$2:$W$13)</calculatedColumnFormula>
    </tableColumn>
    <tableColumn id="25" xr3:uid="{27B5B03F-A5E0-4BBB-92CC-A2BBAE0A008A}" name="Week 11 Score" dataDxfId="55" totalsRowDxfId="21"/>
    <tableColumn id="26" xr3:uid="{4E95F0CE-4CE6-41AC-8E17-2C95B506BE22}" name="Week 11 Rank" dataDxfId="54" totalsRowDxfId="20">
      <calculatedColumnFormula>_xlfn.RANK.AVG(Y2,$Y$2:$Y$13)</calculatedColumnFormula>
    </tableColumn>
    <tableColumn id="27" xr3:uid="{C8180225-A268-4AEA-A2A1-2188C3106DE8}" name="Week 12 Score" dataDxfId="53" totalsRowDxfId="19"/>
    <tableColumn id="28" xr3:uid="{43816CA9-8456-4C7F-BF2A-D30A1AB6B560}" name="Week 12 Rank" dataDxfId="52" totalsRowDxfId="18">
      <calculatedColumnFormula>_xlfn.RANK.AVG(AA2,$AA$2:$AA$13)</calculatedColumnFormula>
    </tableColumn>
    <tableColumn id="29" xr3:uid="{35AEE193-EFAF-43E3-8D01-41B3B2C10C43}" name="Week 13 Score" dataDxfId="51" totalsRowDxfId="17"/>
    <tableColumn id="30" xr3:uid="{43DA0883-D2C8-49C1-BCC4-D3EC775FC153}" name="Week 13 Rank" dataDxfId="50" totalsRowDxfId="16">
      <calculatedColumnFormula>_xlfn.RANK.AVG(AC2,$AC$2:$AC$13)</calculatedColumnFormula>
    </tableColumn>
    <tableColumn id="31" xr3:uid="{FCF53B3F-4E42-465C-9066-786DEEA29B69}" name="Week 14 Score" dataDxfId="49" totalsRowDxfId="15"/>
    <tableColumn id="32" xr3:uid="{7A17E56B-12D4-4DE3-9AAC-760C62A2475F}" name="Week 14 Rank" dataDxfId="48" totalsRowDxfId="14">
      <calculatedColumnFormula>_xlfn.RANK.AVG(AE2,$AE$2:$AE$13)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7CEC3-864A-46E1-9F9D-6B94A4DDB73C}" name="Table1" displayName="Table1" ref="D6:H18" totalsRowShown="0" headerRowDxfId="47" dataDxfId="46" tableBorderDxfId="45">
  <autoFilter ref="D6:H18" xr:uid="{4A97CEC3-864A-46E1-9F9D-6B94A4DDB73C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D7:H18">
    <sortCondition descending="1" ref="G7:G18"/>
  </sortState>
  <tableColumns count="5">
    <tableColumn id="1" xr3:uid="{D8E22878-7BE4-451E-B7D9-F5CA2106800D}" name="Team" dataDxfId="44"/>
    <tableColumn id="2" xr3:uid="{A094A06E-0F00-471F-85D7-567CAAA94C3E}" name="Matchup Wins" dataDxfId="13"/>
    <tableColumn id="3" xr3:uid="{3F8598C8-7B8A-4DE4-BA67-0BE9556F1EF6}" name="Points Wins" dataDxfId="12"/>
    <tableColumn id="4" xr3:uid="{19514413-4A33-4C46-9F5D-3F4DF69617EC}" name="Total Wins" dataDxfId="11"/>
    <tableColumn id="5" xr3:uid="{E168D42D-C995-4179-B9DA-44813143FAD7}" name="Position" dataDxfId="43"/>
  </tableColumns>
  <tableStyleInfo name="TableStyleMedium14"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178FEB-380F-4A83-AA48-962C4AF290BC}" name="Table14" displayName="Table14" ref="D22:K34" totalsRowShown="0" headerRowDxfId="5" dataDxfId="10" tableBorderDxfId="9">
  <autoFilter ref="D22:K34" xr:uid="{EF178FEB-380F-4A83-AA48-962C4AF290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D23:K34">
    <sortCondition ref="I23:I34"/>
  </sortState>
  <tableColumns count="8">
    <tableColumn id="1" xr3:uid="{49F3B134-B823-4290-99AA-DB9D295FA4F8}" name="Team" dataDxfId="8"/>
    <tableColumn id="2" xr3:uid="{0F12DED9-4EB7-4650-A950-BDD088A19998}" name="Matchup Wins" dataDxfId="7"/>
    <tableColumn id="3" xr3:uid="{2C7DA191-4122-49AA-BF8C-8CD451256548}" name="Points Wins" dataDxfId="6"/>
    <tableColumn id="4" xr3:uid="{45A5A055-7C2A-44FD-80E7-7B5752F4EAC4}" name="Total Wins" dataDxfId="4"/>
    <tableColumn id="5" xr3:uid="{1F39EBDC-70AC-45AE-AC54-662C05CE3886}" name="Matchup Position" dataDxfId="2"/>
    <tableColumn id="6" xr3:uid="{83692A7B-70A7-4801-A744-1BAB74A516A1}" name="Final Position" dataDxfId="3"/>
    <tableColumn id="7" xr3:uid="{899ADBF2-39AD-40D8-BE2B-7C71BE71C877}" name="Difference" dataDxfId="1">
      <calculatedColumnFormula>Table14[[#This Row],[Matchup Position]]-Table14[[#This Row],[Final Position]]</calculatedColumnFormula>
    </tableColumn>
    <tableColumn id="8" xr3:uid="{CF09ED91-AA5B-496C-826B-C52DC27365D5}" name="Tiebreake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zoomScale="110" zoomScaleNormal="110" workbookViewId="0">
      <pane xSplit="1" topLeftCell="B1" activePane="topRight" state="frozen"/>
      <selection pane="topRight" activeCell="B2" sqref="B2:D13"/>
    </sheetView>
  </sheetViews>
  <sheetFormatPr defaultRowHeight="14.25" x14ac:dyDescent="0.2"/>
  <cols>
    <col min="1" max="1" width="22.125" customWidth="1"/>
    <col min="2" max="2" width="13.75" customWidth="1"/>
    <col min="3" max="3" width="11.75" customWidth="1"/>
    <col min="4" max="4" width="10.875" customWidth="1"/>
    <col min="5" max="5" width="13" customWidth="1"/>
    <col min="6" max="6" width="12.875" customWidth="1"/>
    <col min="7" max="7" width="13" customWidth="1"/>
    <col min="8" max="8" width="12.875" customWidth="1"/>
    <col min="9" max="9" width="13" customWidth="1"/>
    <col min="10" max="10" width="12.875" customWidth="1"/>
    <col min="11" max="11" width="13" customWidth="1"/>
    <col min="12" max="12" width="12.875" customWidth="1"/>
    <col min="13" max="13" width="13" customWidth="1"/>
    <col min="14" max="14" width="12.875" customWidth="1"/>
    <col min="15" max="15" width="13" customWidth="1"/>
    <col min="16" max="16" width="12.875" customWidth="1"/>
    <col min="17" max="17" width="13" customWidth="1"/>
    <col min="18" max="18" width="12.875" customWidth="1"/>
    <col min="19" max="19" width="13" customWidth="1"/>
    <col min="20" max="20" width="12.875" customWidth="1"/>
    <col min="21" max="21" width="10.75" bestFit="1" customWidth="1"/>
    <col min="22" max="22" width="10.5" bestFit="1" customWidth="1"/>
    <col min="23" max="23" width="13.375" bestFit="1" customWidth="1"/>
    <col min="24" max="24" width="13.125" bestFit="1" customWidth="1"/>
    <col min="25" max="28" width="11.625" bestFit="1" customWidth="1"/>
    <col min="29" max="29" width="12.25" bestFit="1" customWidth="1"/>
    <col min="30" max="30" width="12" bestFit="1" customWidth="1"/>
    <col min="31" max="31" width="12.25" bestFit="1" customWidth="1"/>
    <col min="32" max="32" width="12" bestFit="1" customWidth="1"/>
  </cols>
  <sheetData>
    <row r="1" spans="1:32" x14ac:dyDescent="0.2">
      <c r="A1" t="s">
        <v>25</v>
      </c>
      <c r="B1" t="s">
        <v>12</v>
      </c>
      <c r="C1" t="s">
        <v>13</v>
      </c>
      <c r="D1" t="s">
        <v>24</v>
      </c>
      <c r="E1" t="s">
        <v>14</v>
      </c>
      <c r="F1" t="s">
        <v>19</v>
      </c>
      <c r="G1" t="s">
        <v>15</v>
      </c>
      <c r="H1" t="s">
        <v>23</v>
      </c>
      <c r="I1" t="s">
        <v>16</v>
      </c>
      <c r="J1" t="s">
        <v>22</v>
      </c>
      <c r="K1" t="s">
        <v>17</v>
      </c>
      <c r="L1" t="s">
        <v>20</v>
      </c>
      <c r="M1" t="s">
        <v>18</v>
      </c>
      <c r="N1" t="s">
        <v>21</v>
      </c>
      <c r="O1" t="s">
        <v>27</v>
      </c>
      <c r="P1" t="s">
        <v>28</v>
      </c>
      <c r="Q1" t="s">
        <v>29</v>
      </c>
      <c r="R1" t="s">
        <v>30</v>
      </c>
      <c r="S1" t="s">
        <v>32</v>
      </c>
      <c r="T1" t="s">
        <v>31</v>
      </c>
      <c r="U1" t="s">
        <v>35</v>
      </c>
      <c r="V1" t="s">
        <v>34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45</v>
      </c>
      <c r="AF1" t="s">
        <v>44</v>
      </c>
    </row>
    <row r="2" spans="1:32" x14ac:dyDescent="0.2">
      <c r="A2" s="1" t="s">
        <v>7</v>
      </c>
      <c r="B2" s="1">
        <v>4</v>
      </c>
      <c r="C2" s="1">
        <f t="shared" ref="C2:C13" si="0">IF(F2&lt;=6,1,0)+IF(H2&lt;=6,1,0)+IF(J2&lt;=6,1,0)+IF(L2&lt;=6,1,0)+IF(N2&lt;=6,1,0)+IF(P2&lt;=6,1,0)+IF(R2&lt;=6,1,0)+IF(T2&lt;=6,1,0)+IF(V2&lt;=6,1,0)+IF(X2&lt;=6,1,0)+IF(Z2&lt;=6,1,0)+IF(AB2&lt;=6,1,0)+IF(AD2&lt;=6,1,0)+IF(AF2&lt;=6,1,0)</f>
        <v>8</v>
      </c>
      <c r="D2" s="1">
        <f t="shared" ref="D2:D13" si="1">B2+C2</f>
        <v>12</v>
      </c>
      <c r="E2" s="1">
        <v>99.72</v>
      </c>
      <c r="F2" s="1">
        <f t="shared" ref="F2:F13" si="2">_xlfn.RANK.AVG(E2,$E$2:$E$13)</f>
        <v>7</v>
      </c>
      <c r="G2" s="2">
        <v>122.32</v>
      </c>
      <c r="H2" s="1">
        <f t="shared" ref="H2:H13" si="3">_xlfn.RANK.AVG(G2,$G$2:$G$13)</f>
        <v>3</v>
      </c>
      <c r="I2" s="2">
        <v>126.02</v>
      </c>
      <c r="J2" s="1">
        <f t="shared" ref="J2:J13" si="4">_xlfn.RANK.AVG(I2,$I$2:$I$13)</f>
        <v>3</v>
      </c>
      <c r="K2" s="2">
        <v>118.6</v>
      </c>
      <c r="L2" s="1">
        <f t="shared" ref="L2:L13" si="5">_xlfn.RANK.AVG(K2,$K$2:$K$13)</f>
        <v>4</v>
      </c>
      <c r="M2" s="3">
        <v>91.72</v>
      </c>
      <c r="N2" s="1">
        <f t="shared" ref="N2:N13" si="6">_xlfn.RANK.AVG(M2,$M$2:$M$13)</f>
        <v>9</v>
      </c>
      <c r="O2">
        <v>86.14</v>
      </c>
      <c r="P2" s="1">
        <f t="shared" ref="P2:P13" si="7">_xlfn.RANK.AVG(O2,$O$2:$O$13)</f>
        <v>11</v>
      </c>
      <c r="Q2">
        <v>86.76</v>
      </c>
      <c r="R2" s="1">
        <f t="shared" ref="R2:R13" si="8">_xlfn.RANK.AVG(Q2,$Q$2:$Q$13)</f>
        <v>10</v>
      </c>
      <c r="S2">
        <v>113.68</v>
      </c>
      <c r="T2" s="1">
        <f t="shared" ref="T2:T13" si="9">_xlfn.RANK.AVG(S2,$S$2:$S$13)</f>
        <v>5</v>
      </c>
      <c r="U2" s="1">
        <v>87.4</v>
      </c>
      <c r="V2" s="1">
        <f t="shared" ref="V2:V13" si="10">_xlfn.RANK.AVG(U2,$U$2:$U$13)</f>
        <v>9</v>
      </c>
      <c r="W2" s="1">
        <v>118.02</v>
      </c>
      <c r="X2" s="1">
        <f t="shared" ref="X2:X13" si="11">_xlfn.RANK.AVG(W2,$W$2:$W$13)</f>
        <v>5</v>
      </c>
      <c r="Y2" s="1">
        <v>123.84</v>
      </c>
      <c r="Z2" s="1">
        <f t="shared" ref="Z2:Z13" si="12">_xlfn.RANK.AVG(Y2,$Y$2:$Y$13)</f>
        <v>3</v>
      </c>
      <c r="AA2" s="1">
        <v>130.69999999999999</v>
      </c>
      <c r="AB2" s="1">
        <f t="shared" ref="AB2:AB13" si="13">_xlfn.RANK.AVG(AA2,$AA$2:$AA$13)</f>
        <v>3</v>
      </c>
      <c r="AC2" s="1">
        <v>84.78</v>
      </c>
      <c r="AD2" s="1">
        <f t="shared" ref="AD2:AD13" si="14">_xlfn.RANK.AVG(AC2,$AC$2:$AC$13)</f>
        <v>12</v>
      </c>
      <c r="AE2" s="1">
        <v>101</v>
      </c>
      <c r="AF2" s="1">
        <f t="shared" ref="AF2:AF13" si="15">_xlfn.RANK.AVG(AE2,$AE$2:$AE$13)</f>
        <v>6</v>
      </c>
    </row>
    <row r="3" spans="1:32" x14ac:dyDescent="0.2">
      <c r="A3" s="1" t="s">
        <v>0</v>
      </c>
      <c r="B3" s="1">
        <v>8</v>
      </c>
      <c r="C3" s="1">
        <f t="shared" si="0"/>
        <v>8</v>
      </c>
      <c r="D3" s="1">
        <f t="shared" si="1"/>
        <v>16</v>
      </c>
      <c r="E3" s="1">
        <v>1120.44</v>
      </c>
      <c r="F3" s="1">
        <f t="shared" si="2"/>
        <v>1</v>
      </c>
      <c r="G3" s="2">
        <v>98.64</v>
      </c>
      <c r="H3" s="1">
        <f t="shared" si="3"/>
        <v>7</v>
      </c>
      <c r="I3" s="2">
        <v>120.26</v>
      </c>
      <c r="J3" s="1">
        <f t="shared" si="4"/>
        <v>5</v>
      </c>
      <c r="K3" s="2">
        <v>115.7</v>
      </c>
      <c r="L3" s="1">
        <f t="shared" si="5"/>
        <v>5</v>
      </c>
      <c r="M3" s="3">
        <v>101.98</v>
      </c>
      <c r="N3" s="1">
        <f t="shared" si="6"/>
        <v>7</v>
      </c>
      <c r="O3">
        <v>88.12</v>
      </c>
      <c r="P3" s="1">
        <f t="shared" si="7"/>
        <v>9</v>
      </c>
      <c r="Q3">
        <v>66.16</v>
      </c>
      <c r="R3" s="1">
        <f t="shared" si="8"/>
        <v>12</v>
      </c>
      <c r="S3">
        <v>122.56</v>
      </c>
      <c r="T3" s="1">
        <f t="shared" si="9"/>
        <v>2</v>
      </c>
      <c r="U3" s="1">
        <v>81.78</v>
      </c>
      <c r="V3" s="1">
        <f t="shared" si="10"/>
        <v>10</v>
      </c>
      <c r="W3" s="1">
        <v>79.260000000000005</v>
      </c>
      <c r="X3" s="1">
        <f t="shared" si="11"/>
        <v>12</v>
      </c>
      <c r="Y3" s="1">
        <v>112.86</v>
      </c>
      <c r="Z3" s="1">
        <f t="shared" si="12"/>
        <v>4</v>
      </c>
      <c r="AA3" s="1">
        <v>111.28</v>
      </c>
      <c r="AB3" s="1">
        <f t="shared" si="13"/>
        <v>6</v>
      </c>
      <c r="AC3" s="1">
        <v>130.5</v>
      </c>
      <c r="AD3" s="1">
        <f t="shared" si="14"/>
        <v>3</v>
      </c>
      <c r="AE3" s="1">
        <v>119.02</v>
      </c>
      <c r="AF3" s="1">
        <f t="shared" si="15"/>
        <v>3</v>
      </c>
    </row>
    <row r="4" spans="1:32" x14ac:dyDescent="0.2">
      <c r="A4" s="1" t="s">
        <v>6</v>
      </c>
      <c r="B4" s="1">
        <v>8</v>
      </c>
      <c r="C4" s="1">
        <f t="shared" si="0"/>
        <v>8</v>
      </c>
      <c r="D4" s="1">
        <f t="shared" si="1"/>
        <v>16</v>
      </c>
      <c r="E4" s="1">
        <v>83.34</v>
      </c>
      <c r="F4" s="1">
        <f t="shared" si="2"/>
        <v>8</v>
      </c>
      <c r="G4" s="2">
        <v>78.44</v>
      </c>
      <c r="H4" s="1">
        <f t="shared" si="3"/>
        <v>10</v>
      </c>
      <c r="I4" s="2">
        <v>94.66</v>
      </c>
      <c r="J4" s="1">
        <f t="shared" si="4"/>
        <v>10</v>
      </c>
      <c r="K4" s="2">
        <v>156.82</v>
      </c>
      <c r="L4" s="1">
        <f t="shared" si="5"/>
        <v>1</v>
      </c>
      <c r="M4" s="3">
        <v>147.47999999999999</v>
      </c>
      <c r="N4" s="1">
        <f t="shared" si="6"/>
        <v>2</v>
      </c>
      <c r="O4">
        <v>136.84</v>
      </c>
      <c r="P4" s="1">
        <f t="shared" si="7"/>
        <v>1</v>
      </c>
      <c r="Q4">
        <v>117.28</v>
      </c>
      <c r="R4" s="1">
        <f t="shared" si="8"/>
        <v>3</v>
      </c>
      <c r="S4">
        <v>113.28</v>
      </c>
      <c r="T4" s="1">
        <f t="shared" si="9"/>
        <v>6</v>
      </c>
      <c r="U4" s="1">
        <v>119.5</v>
      </c>
      <c r="V4" s="1">
        <f t="shared" si="10"/>
        <v>3</v>
      </c>
      <c r="W4" s="1">
        <v>100.04</v>
      </c>
      <c r="X4" s="1">
        <f t="shared" si="11"/>
        <v>8</v>
      </c>
      <c r="Y4" s="1">
        <v>82.98</v>
      </c>
      <c r="Z4" s="1">
        <f t="shared" si="12"/>
        <v>10</v>
      </c>
      <c r="AA4" s="1">
        <v>139.46</v>
      </c>
      <c r="AB4" s="1">
        <f t="shared" si="13"/>
        <v>1.5</v>
      </c>
      <c r="AC4" s="1">
        <v>122.82</v>
      </c>
      <c r="AD4" s="1">
        <f t="shared" si="14"/>
        <v>5</v>
      </c>
      <c r="AE4" s="1">
        <v>90.02</v>
      </c>
      <c r="AF4" s="1">
        <f t="shared" si="15"/>
        <v>10</v>
      </c>
    </row>
    <row r="5" spans="1:32" x14ac:dyDescent="0.2">
      <c r="A5" s="1" t="s">
        <v>1</v>
      </c>
      <c r="B5" s="1">
        <v>7</v>
      </c>
      <c r="C5" s="1">
        <f t="shared" si="0"/>
        <v>7</v>
      </c>
      <c r="D5" s="1">
        <f t="shared" si="1"/>
        <v>14</v>
      </c>
      <c r="E5" s="1">
        <v>77.3</v>
      </c>
      <c r="F5" s="1">
        <f t="shared" si="2"/>
        <v>11</v>
      </c>
      <c r="G5" s="2">
        <v>150.41999999999999</v>
      </c>
      <c r="H5" s="1">
        <f t="shared" si="3"/>
        <v>1</v>
      </c>
      <c r="I5" s="2">
        <v>131.54</v>
      </c>
      <c r="J5" s="1">
        <f t="shared" si="4"/>
        <v>2</v>
      </c>
      <c r="K5" s="2">
        <v>115.46</v>
      </c>
      <c r="L5" s="1">
        <f t="shared" si="5"/>
        <v>6</v>
      </c>
      <c r="M5" s="3">
        <v>115.32</v>
      </c>
      <c r="N5" s="1">
        <f t="shared" si="6"/>
        <v>3</v>
      </c>
      <c r="O5">
        <v>96.7</v>
      </c>
      <c r="P5" s="1">
        <f t="shared" si="7"/>
        <v>7</v>
      </c>
      <c r="Q5">
        <v>112.56</v>
      </c>
      <c r="R5" s="1">
        <f t="shared" si="8"/>
        <v>4</v>
      </c>
      <c r="S5">
        <v>107.06</v>
      </c>
      <c r="T5" s="1">
        <f t="shared" si="9"/>
        <v>9</v>
      </c>
      <c r="U5" s="1">
        <v>89.78</v>
      </c>
      <c r="V5" s="1">
        <f t="shared" si="10"/>
        <v>7</v>
      </c>
      <c r="W5" s="1">
        <v>92.4</v>
      </c>
      <c r="X5" s="1">
        <f t="shared" si="11"/>
        <v>10</v>
      </c>
      <c r="Y5" s="1">
        <v>127</v>
      </c>
      <c r="Z5" s="1">
        <f t="shared" si="12"/>
        <v>1</v>
      </c>
      <c r="AA5" s="1">
        <v>100.7</v>
      </c>
      <c r="AB5" s="1">
        <f t="shared" si="13"/>
        <v>10</v>
      </c>
      <c r="AC5" s="1">
        <v>125.62</v>
      </c>
      <c r="AD5" s="1">
        <f t="shared" si="14"/>
        <v>4</v>
      </c>
      <c r="AE5" s="1">
        <v>87.88</v>
      </c>
      <c r="AF5" s="1">
        <f t="shared" si="15"/>
        <v>11</v>
      </c>
    </row>
    <row r="6" spans="1:32" x14ac:dyDescent="0.2">
      <c r="A6" s="1" t="s">
        <v>3</v>
      </c>
      <c r="B6" s="1">
        <v>8</v>
      </c>
      <c r="C6" s="1">
        <f t="shared" si="0"/>
        <v>8</v>
      </c>
      <c r="D6" s="1">
        <f t="shared" si="1"/>
        <v>16</v>
      </c>
      <c r="E6" s="1">
        <v>112.78</v>
      </c>
      <c r="F6" s="1">
        <f t="shared" si="2"/>
        <v>2</v>
      </c>
      <c r="G6" s="2">
        <v>91.22</v>
      </c>
      <c r="H6" s="1">
        <f t="shared" si="3"/>
        <v>9</v>
      </c>
      <c r="I6" s="2">
        <v>113.74</v>
      </c>
      <c r="J6" s="1">
        <f t="shared" si="4"/>
        <v>7</v>
      </c>
      <c r="K6" s="2">
        <v>139.6</v>
      </c>
      <c r="L6" s="1">
        <f t="shared" si="5"/>
        <v>2</v>
      </c>
      <c r="M6" s="3">
        <v>74.84</v>
      </c>
      <c r="N6" s="1">
        <f t="shared" si="6"/>
        <v>12</v>
      </c>
      <c r="O6">
        <v>118.84</v>
      </c>
      <c r="P6" s="1">
        <f t="shared" si="7"/>
        <v>2</v>
      </c>
      <c r="Q6">
        <v>109.74</v>
      </c>
      <c r="R6" s="1">
        <f t="shared" si="8"/>
        <v>5</v>
      </c>
      <c r="S6">
        <v>107.08</v>
      </c>
      <c r="T6" s="1">
        <f t="shared" si="9"/>
        <v>8</v>
      </c>
      <c r="U6" s="1">
        <v>52</v>
      </c>
      <c r="V6" s="1">
        <f t="shared" si="10"/>
        <v>12</v>
      </c>
      <c r="W6" s="1">
        <v>117.42</v>
      </c>
      <c r="X6" s="1">
        <f t="shared" si="11"/>
        <v>6</v>
      </c>
      <c r="Y6" s="1">
        <v>112.44</v>
      </c>
      <c r="Z6" s="1">
        <f t="shared" si="12"/>
        <v>5</v>
      </c>
      <c r="AA6" s="1">
        <v>107.66</v>
      </c>
      <c r="AB6" s="1">
        <f t="shared" si="13"/>
        <v>8</v>
      </c>
      <c r="AC6" s="1">
        <v>112.18</v>
      </c>
      <c r="AD6" s="1">
        <f t="shared" si="14"/>
        <v>6</v>
      </c>
      <c r="AE6" s="1">
        <v>110.52</v>
      </c>
      <c r="AF6" s="1">
        <f t="shared" si="15"/>
        <v>4</v>
      </c>
    </row>
    <row r="7" spans="1:32" x14ac:dyDescent="0.2">
      <c r="A7" s="1" t="s">
        <v>10</v>
      </c>
      <c r="B7" s="1">
        <v>4</v>
      </c>
      <c r="C7" s="1">
        <f t="shared" si="0"/>
        <v>6</v>
      </c>
      <c r="D7" s="1">
        <f t="shared" si="1"/>
        <v>10</v>
      </c>
      <c r="E7" s="1">
        <v>101.34</v>
      </c>
      <c r="F7" s="1">
        <f t="shared" si="2"/>
        <v>6</v>
      </c>
      <c r="G7" s="2">
        <v>77.760000000000005</v>
      </c>
      <c r="H7" s="1">
        <f t="shared" si="3"/>
        <v>11</v>
      </c>
      <c r="I7" s="2">
        <v>120.48</v>
      </c>
      <c r="J7" s="1">
        <f t="shared" si="4"/>
        <v>4</v>
      </c>
      <c r="K7" s="2">
        <v>82.96</v>
      </c>
      <c r="L7" s="1">
        <f t="shared" si="5"/>
        <v>10</v>
      </c>
      <c r="M7" s="3">
        <v>108.42</v>
      </c>
      <c r="N7" s="1">
        <f t="shared" si="6"/>
        <v>5</v>
      </c>
      <c r="O7">
        <v>99.18</v>
      </c>
      <c r="P7" s="1">
        <f t="shared" si="7"/>
        <v>6</v>
      </c>
      <c r="Q7">
        <v>77.84</v>
      </c>
      <c r="R7" s="1">
        <f t="shared" si="8"/>
        <v>11</v>
      </c>
      <c r="S7">
        <v>86.06</v>
      </c>
      <c r="T7" s="1">
        <f t="shared" si="9"/>
        <v>11</v>
      </c>
      <c r="U7" s="1">
        <v>95.52</v>
      </c>
      <c r="V7" s="1">
        <f t="shared" si="10"/>
        <v>6</v>
      </c>
      <c r="W7" s="1">
        <v>99.2</v>
      </c>
      <c r="X7" s="1">
        <f t="shared" si="11"/>
        <v>9</v>
      </c>
      <c r="Y7" s="1">
        <v>85.3</v>
      </c>
      <c r="Z7" s="1">
        <f t="shared" si="12"/>
        <v>9</v>
      </c>
      <c r="AA7" s="1">
        <v>108.62</v>
      </c>
      <c r="AB7" s="1">
        <f t="shared" si="13"/>
        <v>7</v>
      </c>
      <c r="AC7" s="1">
        <v>135.19999999999999</v>
      </c>
      <c r="AD7" s="1">
        <f t="shared" si="14"/>
        <v>2</v>
      </c>
      <c r="AE7" s="1">
        <v>93</v>
      </c>
      <c r="AF7" s="1">
        <f t="shared" si="15"/>
        <v>8</v>
      </c>
    </row>
    <row r="8" spans="1:32" x14ac:dyDescent="0.2">
      <c r="A8" s="1" t="s">
        <v>5</v>
      </c>
      <c r="B8" s="1">
        <v>9</v>
      </c>
      <c r="C8" s="1">
        <f t="shared" si="0"/>
        <v>10</v>
      </c>
      <c r="D8" s="1">
        <f t="shared" si="1"/>
        <v>19</v>
      </c>
      <c r="E8" s="1">
        <v>75.040000000000006</v>
      </c>
      <c r="F8" s="1">
        <f t="shared" si="2"/>
        <v>12</v>
      </c>
      <c r="G8" s="2">
        <v>128.62</v>
      </c>
      <c r="H8" s="1">
        <f t="shared" si="3"/>
        <v>2</v>
      </c>
      <c r="I8" s="2">
        <v>96.52</v>
      </c>
      <c r="J8" s="1">
        <f t="shared" si="4"/>
        <v>9</v>
      </c>
      <c r="K8" s="2">
        <v>122.48</v>
      </c>
      <c r="L8" s="1">
        <f t="shared" si="5"/>
        <v>3</v>
      </c>
      <c r="M8" s="3">
        <v>149.46</v>
      </c>
      <c r="N8" s="1">
        <f t="shared" si="6"/>
        <v>1</v>
      </c>
      <c r="O8" s="1">
        <v>102.46</v>
      </c>
      <c r="P8" s="1">
        <f t="shared" si="7"/>
        <v>5</v>
      </c>
      <c r="Q8">
        <v>98.2</v>
      </c>
      <c r="R8" s="1">
        <f t="shared" si="8"/>
        <v>6</v>
      </c>
      <c r="S8">
        <v>111.76</v>
      </c>
      <c r="T8" s="1">
        <f t="shared" si="9"/>
        <v>7</v>
      </c>
      <c r="U8" s="1">
        <v>129.52000000000001</v>
      </c>
      <c r="V8" s="1">
        <f t="shared" si="10"/>
        <v>1</v>
      </c>
      <c r="W8" s="1">
        <v>122.58</v>
      </c>
      <c r="X8" s="1">
        <f t="shared" si="11"/>
        <v>3</v>
      </c>
      <c r="Y8" s="1">
        <v>106.5</v>
      </c>
      <c r="Z8" s="1">
        <f t="shared" si="12"/>
        <v>6</v>
      </c>
      <c r="AA8" s="1">
        <v>139.46</v>
      </c>
      <c r="AB8" s="1">
        <f t="shared" si="13"/>
        <v>1.5</v>
      </c>
      <c r="AC8" s="1">
        <v>93.26</v>
      </c>
      <c r="AD8" s="1">
        <f t="shared" si="14"/>
        <v>10</v>
      </c>
      <c r="AE8" s="1">
        <v>124.12</v>
      </c>
      <c r="AF8" s="1">
        <f t="shared" si="15"/>
        <v>2</v>
      </c>
    </row>
    <row r="9" spans="1:32" x14ac:dyDescent="0.2">
      <c r="A9" s="1" t="s">
        <v>8</v>
      </c>
      <c r="B9" s="1">
        <v>6</v>
      </c>
      <c r="C9" s="1">
        <f t="shared" si="0"/>
        <v>6</v>
      </c>
      <c r="D9" s="1">
        <f t="shared" si="1"/>
        <v>12</v>
      </c>
      <c r="E9" s="1">
        <v>111.66</v>
      </c>
      <c r="F9" s="1">
        <f t="shared" si="2"/>
        <v>3</v>
      </c>
      <c r="G9" s="2">
        <v>91.78</v>
      </c>
      <c r="H9" s="1">
        <f t="shared" si="3"/>
        <v>8</v>
      </c>
      <c r="I9" s="2">
        <v>113.98</v>
      </c>
      <c r="J9" s="1">
        <f t="shared" si="4"/>
        <v>6</v>
      </c>
      <c r="K9" s="2">
        <v>88.94</v>
      </c>
      <c r="L9" s="1">
        <f t="shared" si="5"/>
        <v>8</v>
      </c>
      <c r="M9" s="3">
        <v>81.819999999999993</v>
      </c>
      <c r="N9" s="1">
        <f t="shared" si="6"/>
        <v>11</v>
      </c>
      <c r="O9">
        <v>87.52</v>
      </c>
      <c r="P9" s="1">
        <f t="shared" si="7"/>
        <v>10</v>
      </c>
      <c r="Q9">
        <v>96.88</v>
      </c>
      <c r="R9" s="1">
        <f t="shared" si="8"/>
        <v>7</v>
      </c>
      <c r="S9">
        <v>120.48</v>
      </c>
      <c r="T9" s="1">
        <f t="shared" si="9"/>
        <v>3</v>
      </c>
      <c r="U9" s="1">
        <v>79.78</v>
      </c>
      <c r="V9" s="1">
        <f t="shared" si="10"/>
        <v>11</v>
      </c>
      <c r="W9" s="1">
        <v>129.52000000000001</v>
      </c>
      <c r="X9" s="1">
        <f t="shared" si="11"/>
        <v>2</v>
      </c>
      <c r="Y9" s="1">
        <v>125.46</v>
      </c>
      <c r="Z9" s="1">
        <f t="shared" si="12"/>
        <v>2</v>
      </c>
      <c r="AA9" s="1">
        <v>77.180000000000007</v>
      </c>
      <c r="AB9" s="1">
        <f t="shared" si="13"/>
        <v>12</v>
      </c>
      <c r="AC9" s="1">
        <v>110.92</v>
      </c>
      <c r="AD9" s="1">
        <f t="shared" si="14"/>
        <v>7</v>
      </c>
      <c r="AE9" s="1">
        <v>127.34</v>
      </c>
      <c r="AF9" s="1">
        <f t="shared" si="15"/>
        <v>1</v>
      </c>
    </row>
    <row r="10" spans="1:32" x14ac:dyDescent="0.2">
      <c r="A10" s="1" t="s">
        <v>2</v>
      </c>
      <c r="B10" s="1">
        <v>11</v>
      </c>
      <c r="C10" s="1">
        <f t="shared" si="0"/>
        <v>9</v>
      </c>
      <c r="D10" s="1">
        <f t="shared" si="1"/>
        <v>20</v>
      </c>
      <c r="E10" s="1">
        <v>106.12</v>
      </c>
      <c r="F10" s="1">
        <f t="shared" si="2"/>
        <v>4</v>
      </c>
      <c r="G10" s="2">
        <v>115.5</v>
      </c>
      <c r="H10" s="1">
        <f t="shared" si="3"/>
        <v>4</v>
      </c>
      <c r="I10" s="2">
        <v>144.86000000000001</v>
      </c>
      <c r="J10" s="1">
        <f t="shared" si="4"/>
        <v>1</v>
      </c>
      <c r="K10" s="2">
        <v>88.32</v>
      </c>
      <c r="L10" s="1">
        <f t="shared" si="5"/>
        <v>9</v>
      </c>
      <c r="M10" s="3">
        <v>98.24</v>
      </c>
      <c r="N10" s="1">
        <f t="shared" si="6"/>
        <v>8</v>
      </c>
      <c r="O10">
        <v>108.78</v>
      </c>
      <c r="P10" s="1">
        <f t="shared" si="7"/>
        <v>4</v>
      </c>
      <c r="Q10">
        <v>91.24</v>
      </c>
      <c r="R10" s="1">
        <f t="shared" si="8"/>
        <v>8</v>
      </c>
      <c r="S10">
        <v>118.4</v>
      </c>
      <c r="T10" s="1">
        <f t="shared" si="9"/>
        <v>4</v>
      </c>
      <c r="U10" s="1">
        <v>106.06</v>
      </c>
      <c r="V10" s="1">
        <f t="shared" si="10"/>
        <v>5</v>
      </c>
      <c r="W10" s="1">
        <v>159.06</v>
      </c>
      <c r="X10" s="1">
        <f t="shared" si="11"/>
        <v>1</v>
      </c>
      <c r="Y10" s="1">
        <v>103.56</v>
      </c>
      <c r="Z10" s="1">
        <f t="shared" si="12"/>
        <v>7</v>
      </c>
      <c r="AA10" s="1">
        <v>114.74</v>
      </c>
      <c r="AB10" s="1">
        <f t="shared" si="13"/>
        <v>4</v>
      </c>
      <c r="AC10" s="1">
        <v>143.76</v>
      </c>
      <c r="AD10" s="1">
        <f t="shared" si="14"/>
        <v>1</v>
      </c>
      <c r="AE10" s="1">
        <v>97.24</v>
      </c>
      <c r="AF10" s="1">
        <f t="shared" si="15"/>
        <v>7</v>
      </c>
    </row>
    <row r="11" spans="1:32" x14ac:dyDescent="0.2">
      <c r="A11" s="1" t="s">
        <v>4</v>
      </c>
      <c r="B11" s="1">
        <v>5</v>
      </c>
      <c r="C11" s="1">
        <f t="shared" si="0"/>
        <v>2</v>
      </c>
      <c r="D11" s="1">
        <f t="shared" si="1"/>
        <v>7</v>
      </c>
      <c r="E11" s="1">
        <v>104.56</v>
      </c>
      <c r="F11" s="1">
        <f t="shared" si="2"/>
        <v>5</v>
      </c>
      <c r="G11" s="2">
        <v>101.7</v>
      </c>
      <c r="H11" s="1">
        <f t="shared" si="3"/>
        <v>5</v>
      </c>
      <c r="I11" s="2">
        <v>107.3</v>
      </c>
      <c r="J11" s="1">
        <f t="shared" si="4"/>
        <v>8</v>
      </c>
      <c r="K11" s="2">
        <v>91.98</v>
      </c>
      <c r="L11" s="1">
        <f t="shared" si="5"/>
        <v>7</v>
      </c>
      <c r="M11" s="3">
        <v>85.38</v>
      </c>
      <c r="N11" s="1">
        <f t="shared" si="6"/>
        <v>10</v>
      </c>
      <c r="O11">
        <v>91.98</v>
      </c>
      <c r="P11" s="1">
        <f t="shared" si="7"/>
        <v>8</v>
      </c>
      <c r="Q11">
        <v>87.56</v>
      </c>
      <c r="R11" s="1">
        <f t="shared" si="8"/>
        <v>9</v>
      </c>
      <c r="S11">
        <v>85.62</v>
      </c>
      <c r="T11" s="1">
        <f t="shared" si="9"/>
        <v>12</v>
      </c>
      <c r="U11" s="1">
        <v>88.84</v>
      </c>
      <c r="V11" s="1">
        <f t="shared" si="10"/>
        <v>8</v>
      </c>
      <c r="W11" s="1">
        <v>103.62</v>
      </c>
      <c r="X11" s="1">
        <f t="shared" si="11"/>
        <v>7</v>
      </c>
      <c r="Y11" s="1">
        <v>71.8</v>
      </c>
      <c r="Z11" s="1">
        <f t="shared" si="12"/>
        <v>12</v>
      </c>
      <c r="AA11" s="1">
        <v>83.68</v>
      </c>
      <c r="AB11" s="1">
        <f t="shared" si="13"/>
        <v>11</v>
      </c>
      <c r="AC11" s="1">
        <v>91.18</v>
      </c>
      <c r="AD11" s="1">
        <f t="shared" si="14"/>
        <v>11</v>
      </c>
      <c r="AE11" s="1">
        <v>58.74</v>
      </c>
      <c r="AF11" s="1">
        <f t="shared" si="15"/>
        <v>12</v>
      </c>
    </row>
    <row r="12" spans="1:32" x14ac:dyDescent="0.2">
      <c r="A12" s="1" t="s">
        <v>9</v>
      </c>
      <c r="B12" s="1">
        <v>6</v>
      </c>
      <c r="C12" s="1">
        <f t="shared" si="0"/>
        <v>7</v>
      </c>
      <c r="D12" s="1">
        <f t="shared" si="1"/>
        <v>13</v>
      </c>
      <c r="E12" s="1">
        <v>77.94</v>
      </c>
      <c r="F12" s="1">
        <f t="shared" si="2"/>
        <v>10</v>
      </c>
      <c r="G12" s="2">
        <v>101.2</v>
      </c>
      <c r="H12" s="1">
        <f t="shared" si="3"/>
        <v>6</v>
      </c>
      <c r="I12" s="2">
        <v>89.08</v>
      </c>
      <c r="J12" s="1">
        <f t="shared" si="4"/>
        <v>12</v>
      </c>
      <c r="K12" s="2">
        <v>70.819999999999993</v>
      </c>
      <c r="L12" s="1">
        <f t="shared" si="5"/>
        <v>12</v>
      </c>
      <c r="M12" s="3">
        <v>108.84</v>
      </c>
      <c r="N12" s="1">
        <f t="shared" si="6"/>
        <v>4</v>
      </c>
      <c r="O12">
        <v>118.74</v>
      </c>
      <c r="P12" s="1">
        <f t="shared" si="7"/>
        <v>3</v>
      </c>
      <c r="Q12">
        <v>151.46</v>
      </c>
      <c r="R12" s="1">
        <f t="shared" si="8"/>
        <v>1</v>
      </c>
      <c r="S12" s="1">
        <v>91.44</v>
      </c>
      <c r="T12" s="1">
        <f t="shared" si="9"/>
        <v>10</v>
      </c>
      <c r="U12" s="1">
        <v>116.6</v>
      </c>
      <c r="V12" s="1">
        <f t="shared" si="10"/>
        <v>4</v>
      </c>
      <c r="W12" s="1">
        <v>83.16</v>
      </c>
      <c r="X12" s="1">
        <f t="shared" si="11"/>
        <v>11</v>
      </c>
      <c r="Y12" s="1">
        <v>82.68</v>
      </c>
      <c r="Z12" s="1">
        <f t="shared" si="12"/>
        <v>11</v>
      </c>
      <c r="AA12" s="1">
        <v>113.02</v>
      </c>
      <c r="AB12" s="1">
        <f t="shared" si="13"/>
        <v>5</v>
      </c>
      <c r="AC12" s="1">
        <v>98</v>
      </c>
      <c r="AD12" s="1">
        <f t="shared" si="14"/>
        <v>9</v>
      </c>
      <c r="AE12" s="1">
        <v>108.74</v>
      </c>
      <c r="AF12" s="1">
        <f t="shared" si="15"/>
        <v>5</v>
      </c>
    </row>
    <row r="13" spans="1:32" x14ac:dyDescent="0.2">
      <c r="A13" s="1" t="s">
        <v>11</v>
      </c>
      <c r="B13" s="1">
        <v>8</v>
      </c>
      <c r="C13" s="1">
        <f t="shared" si="0"/>
        <v>5</v>
      </c>
      <c r="D13" s="1">
        <f t="shared" si="1"/>
        <v>13</v>
      </c>
      <c r="E13" s="1">
        <v>80.680000000000007</v>
      </c>
      <c r="F13" s="1">
        <f t="shared" si="2"/>
        <v>9</v>
      </c>
      <c r="G13" s="2">
        <v>66.88</v>
      </c>
      <c r="H13" s="1">
        <f t="shared" si="3"/>
        <v>12</v>
      </c>
      <c r="I13" s="2">
        <v>92.56</v>
      </c>
      <c r="J13" s="1">
        <f t="shared" si="4"/>
        <v>11</v>
      </c>
      <c r="K13" s="2">
        <v>81.400000000000006</v>
      </c>
      <c r="L13" s="1">
        <f t="shared" si="5"/>
        <v>11</v>
      </c>
      <c r="M13" s="3">
        <v>104.46</v>
      </c>
      <c r="N13" s="1">
        <f t="shared" si="6"/>
        <v>6</v>
      </c>
      <c r="O13">
        <v>79.2</v>
      </c>
      <c r="P13" s="1">
        <f t="shared" si="7"/>
        <v>12</v>
      </c>
      <c r="Q13">
        <v>119.66</v>
      </c>
      <c r="R13" s="1">
        <f t="shared" si="8"/>
        <v>2</v>
      </c>
      <c r="S13">
        <v>143.02000000000001</v>
      </c>
      <c r="T13" s="1">
        <f t="shared" si="9"/>
        <v>1</v>
      </c>
      <c r="U13" s="1">
        <v>120.82</v>
      </c>
      <c r="V13" s="1">
        <f t="shared" si="10"/>
        <v>2</v>
      </c>
      <c r="W13" s="1">
        <v>122.38</v>
      </c>
      <c r="X13" s="1">
        <f t="shared" si="11"/>
        <v>4</v>
      </c>
      <c r="Y13" s="1">
        <v>89.94</v>
      </c>
      <c r="Z13" s="1">
        <f t="shared" si="12"/>
        <v>8</v>
      </c>
      <c r="AA13" s="1">
        <v>104.72</v>
      </c>
      <c r="AB13" s="1">
        <f t="shared" si="13"/>
        <v>9</v>
      </c>
      <c r="AC13" s="1">
        <v>110.36</v>
      </c>
      <c r="AD13" s="1">
        <f t="shared" si="14"/>
        <v>8</v>
      </c>
      <c r="AE13" s="1">
        <v>92.86</v>
      </c>
      <c r="AF13" s="1">
        <f t="shared" si="15"/>
        <v>9</v>
      </c>
    </row>
    <row r="14" spans="1:32" x14ac:dyDescent="0.2">
      <c r="A14" s="1" t="s">
        <v>33</v>
      </c>
      <c r="B14" s="1">
        <f>SUBTOTAL(109,Table2[Matchup Wins])</f>
        <v>84</v>
      </c>
      <c r="C14" s="1">
        <f>SUBTOTAL(109,Table2[Points Wins])</f>
        <v>84</v>
      </c>
      <c r="D14" s="1">
        <f>SUBTOTAL(109,Table2[Total Wins])</f>
        <v>168</v>
      </c>
      <c r="E14" s="1"/>
      <c r="F14" s="1"/>
      <c r="G14" s="1"/>
      <c r="H14" s="1"/>
      <c r="I14" s="1"/>
      <c r="J14" s="1"/>
      <c r="K14" s="1"/>
      <c r="L14" s="1"/>
      <c r="N14" s="1"/>
      <c r="P14" s="1"/>
      <c r="R14" s="1"/>
      <c r="T14" s="1"/>
      <c r="U14" s="1"/>
      <c r="V14" s="1">
        <f>SUBTOTAL(109,Table2[Week 9 Rank])</f>
        <v>78</v>
      </c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G15" s="3"/>
      <c r="I15" s="3"/>
      <c r="J15" s="3"/>
      <c r="K15" s="3"/>
      <c r="L15" s="3"/>
      <c r="M15" s="3"/>
      <c r="N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B62E-4A94-40F9-80BB-C79F2FDA716F}">
  <dimension ref="D6:K34"/>
  <sheetViews>
    <sheetView tabSelected="1" topLeftCell="A12" zoomScale="140" zoomScaleNormal="140" workbookViewId="0">
      <selection activeCell="I28" sqref="I28"/>
    </sheetView>
  </sheetViews>
  <sheetFormatPr defaultRowHeight="14.25" x14ac:dyDescent="0.2"/>
  <cols>
    <col min="4" max="4" width="28.125" bestFit="1" customWidth="1"/>
    <col min="5" max="5" width="15.625" bestFit="1" customWidth="1"/>
    <col min="6" max="6" width="13.25" bestFit="1" customWidth="1"/>
    <col min="7" max="7" width="12" bestFit="1" customWidth="1"/>
    <col min="8" max="8" width="10" style="7" bestFit="1" customWidth="1"/>
    <col min="9" max="9" width="9.5" bestFit="1" customWidth="1"/>
    <col min="10" max="10" width="11.875" bestFit="1" customWidth="1"/>
    <col min="11" max="11" width="49" bestFit="1" customWidth="1"/>
  </cols>
  <sheetData>
    <row r="6" spans="4:8" ht="18.75" x14ac:dyDescent="0.2">
      <c r="D6" s="5" t="s">
        <v>25</v>
      </c>
      <c r="E6" s="5" t="s">
        <v>12</v>
      </c>
      <c r="F6" s="5" t="s">
        <v>13</v>
      </c>
      <c r="G6" s="5" t="s">
        <v>24</v>
      </c>
      <c r="H6" s="8" t="s">
        <v>26</v>
      </c>
    </row>
    <row r="7" spans="4:8" ht="20.100000000000001" customHeight="1" x14ac:dyDescent="0.2">
      <c r="D7" s="11" t="s">
        <v>2</v>
      </c>
      <c r="E7" s="6">
        <v>11</v>
      </c>
      <c r="F7" s="6">
        <v>9</v>
      </c>
      <c r="G7" s="6">
        <v>20</v>
      </c>
      <c r="H7" s="9">
        <v>1</v>
      </c>
    </row>
    <row r="8" spans="4:8" ht="20.100000000000001" customHeight="1" x14ac:dyDescent="0.2">
      <c r="D8" s="12" t="s">
        <v>5</v>
      </c>
      <c r="E8" s="6">
        <v>9</v>
      </c>
      <c r="F8" s="6">
        <v>10</v>
      </c>
      <c r="G8" s="6">
        <v>19</v>
      </c>
      <c r="H8" s="9">
        <v>2</v>
      </c>
    </row>
    <row r="9" spans="4:8" ht="20.100000000000001" customHeight="1" x14ac:dyDescent="0.2">
      <c r="D9" s="10" t="s">
        <v>0</v>
      </c>
      <c r="E9" s="6">
        <v>8</v>
      </c>
      <c r="F9" s="6">
        <v>8</v>
      </c>
      <c r="G9" s="6">
        <v>16</v>
      </c>
      <c r="H9" s="9">
        <v>3</v>
      </c>
    </row>
    <row r="10" spans="4:8" ht="20.100000000000001" customHeight="1" x14ac:dyDescent="0.2">
      <c r="D10" s="13" t="s">
        <v>6</v>
      </c>
      <c r="E10" s="6">
        <v>8</v>
      </c>
      <c r="F10" s="6">
        <v>8</v>
      </c>
      <c r="G10" s="6">
        <v>16</v>
      </c>
      <c r="H10" s="9">
        <v>3</v>
      </c>
    </row>
    <row r="11" spans="4:8" ht="20.100000000000001" customHeight="1" x14ac:dyDescent="0.2">
      <c r="D11" s="14" t="s">
        <v>3</v>
      </c>
      <c r="E11" s="6">
        <v>8</v>
      </c>
      <c r="F11" s="6">
        <v>8</v>
      </c>
      <c r="G11" s="6">
        <v>16</v>
      </c>
      <c r="H11" s="9">
        <v>3</v>
      </c>
    </row>
    <row r="12" spans="4:8" ht="20.100000000000001" customHeight="1" x14ac:dyDescent="0.2">
      <c r="D12" s="20" t="s">
        <v>1</v>
      </c>
      <c r="E12" s="6">
        <v>7</v>
      </c>
      <c r="F12" s="6">
        <v>7</v>
      </c>
      <c r="G12" s="6">
        <v>14</v>
      </c>
      <c r="H12" s="9">
        <v>6</v>
      </c>
    </row>
    <row r="13" spans="4:8" ht="20.100000000000001" customHeight="1" x14ac:dyDescent="0.2">
      <c r="D13" s="21" t="s">
        <v>9</v>
      </c>
      <c r="E13" s="6">
        <v>6</v>
      </c>
      <c r="F13" s="6">
        <v>7</v>
      </c>
      <c r="G13" s="6">
        <v>13</v>
      </c>
      <c r="H13" s="9">
        <v>7</v>
      </c>
    </row>
    <row r="14" spans="4:8" ht="20.100000000000001" customHeight="1" x14ac:dyDescent="0.2">
      <c r="D14" s="17" t="s">
        <v>11</v>
      </c>
      <c r="E14" s="6">
        <v>8</v>
      </c>
      <c r="F14" s="6">
        <v>5</v>
      </c>
      <c r="G14" s="6">
        <v>13</v>
      </c>
      <c r="H14" s="9">
        <v>7</v>
      </c>
    </row>
    <row r="15" spans="4:8" ht="20.100000000000001" customHeight="1" x14ac:dyDescent="0.2">
      <c r="D15" s="16" t="s">
        <v>7</v>
      </c>
      <c r="E15" s="6">
        <v>4</v>
      </c>
      <c r="F15" s="6">
        <v>8</v>
      </c>
      <c r="G15" s="6">
        <v>12</v>
      </c>
      <c r="H15" s="9">
        <v>9</v>
      </c>
    </row>
    <row r="16" spans="4:8" ht="20.100000000000001" customHeight="1" x14ac:dyDescent="0.2">
      <c r="D16" s="15" t="s">
        <v>8</v>
      </c>
      <c r="E16" s="6">
        <v>6</v>
      </c>
      <c r="F16" s="6">
        <v>6</v>
      </c>
      <c r="G16" s="6">
        <v>12</v>
      </c>
      <c r="H16" s="9">
        <v>10</v>
      </c>
    </row>
    <row r="17" spans="4:11" ht="20.100000000000001" customHeight="1" x14ac:dyDescent="0.2">
      <c r="D17" s="19" t="s">
        <v>10</v>
      </c>
      <c r="E17" s="6">
        <v>4</v>
      </c>
      <c r="F17" s="6">
        <v>6</v>
      </c>
      <c r="G17" s="6">
        <v>10</v>
      </c>
      <c r="H17" s="9">
        <v>10</v>
      </c>
    </row>
    <row r="18" spans="4:11" ht="20.100000000000001" customHeight="1" x14ac:dyDescent="0.2">
      <c r="D18" s="18" t="s">
        <v>4</v>
      </c>
      <c r="E18" s="6">
        <v>5</v>
      </c>
      <c r="F18" s="6">
        <v>2</v>
      </c>
      <c r="G18" s="6">
        <v>7</v>
      </c>
      <c r="H18" s="9">
        <v>12</v>
      </c>
    </row>
    <row r="19" spans="4:11" ht="18.75" x14ac:dyDescent="0.4">
      <c r="D19" s="4"/>
      <c r="E19" s="4"/>
      <c r="F19" s="4"/>
      <c r="G19" s="4"/>
    </row>
    <row r="20" spans="4:11" ht="18.75" x14ac:dyDescent="0.4">
      <c r="D20" s="4"/>
      <c r="E20" s="4"/>
      <c r="F20" s="4"/>
      <c r="G20" s="4"/>
    </row>
    <row r="22" spans="4:11" ht="37.5" x14ac:dyDescent="0.2">
      <c r="D22" s="6" t="s">
        <v>25</v>
      </c>
      <c r="E22" s="6" t="s">
        <v>12</v>
      </c>
      <c r="F22" s="6" t="s">
        <v>13</v>
      </c>
      <c r="G22" s="6" t="s">
        <v>24</v>
      </c>
      <c r="H22" s="6" t="s">
        <v>46</v>
      </c>
      <c r="I22" s="9" t="s">
        <v>47</v>
      </c>
      <c r="J22" s="9" t="s">
        <v>48</v>
      </c>
      <c r="K22" s="6" t="s">
        <v>49</v>
      </c>
    </row>
    <row r="23" spans="4:11" ht="18.75" x14ac:dyDescent="0.2">
      <c r="D23" s="32" t="s">
        <v>2</v>
      </c>
      <c r="E23" s="33">
        <v>11</v>
      </c>
      <c r="F23" s="33">
        <v>9</v>
      </c>
      <c r="G23" s="33">
        <v>20</v>
      </c>
      <c r="H23" s="34">
        <v>1</v>
      </c>
      <c r="I23" s="34">
        <v>1</v>
      </c>
      <c r="J23" s="34">
        <f>Table14[[#This Row],[Matchup Position]]-Table14[[#This Row],[Final Position]]</f>
        <v>0</v>
      </c>
      <c r="K23" s="44"/>
    </row>
    <row r="24" spans="4:11" ht="19.5" thickBot="1" x14ac:dyDescent="0.25">
      <c r="D24" s="35" t="s">
        <v>5</v>
      </c>
      <c r="E24" s="33">
        <v>9</v>
      </c>
      <c r="F24" s="33">
        <v>10</v>
      </c>
      <c r="G24" s="33">
        <v>19</v>
      </c>
      <c r="H24" s="34">
        <v>2</v>
      </c>
      <c r="I24" s="34">
        <v>2</v>
      </c>
      <c r="J24" s="34">
        <f>Table14[[#This Row],[Matchup Position]]-Table14[[#This Row],[Final Position]]</f>
        <v>0</v>
      </c>
      <c r="K24" s="44"/>
    </row>
    <row r="25" spans="4:11" ht="18.75" x14ac:dyDescent="0.2">
      <c r="D25" s="38" t="s">
        <v>6</v>
      </c>
      <c r="E25" s="33">
        <v>8</v>
      </c>
      <c r="F25" s="33">
        <v>8</v>
      </c>
      <c r="G25" s="41">
        <v>16</v>
      </c>
      <c r="H25" s="34">
        <v>3</v>
      </c>
      <c r="I25" s="34">
        <v>3</v>
      </c>
      <c r="J25" s="34">
        <f>Table14[[#This Row],[Matchup Position]]-Table14[[#This Row],[Final Position]]</f>
        <v>0</v>
      </c>
      <c r="K25" s="44" t="s">
        <v>54</v>
      </c>
    </row>
    <row r="26" spans="4:11" ht="18.75" x14ac:dyDescent="0.2">
      <c r="D26" s="39" t="s">
        <v>3</v>
      </c>
      <c r="E26" s="33">
        <v>8</v>
      </c>
      <c r="F26" s="33">
        <v>8</v>
      </c>
      <c r="G26" s="42">
        <v>16</v>
      </c>
      <c r="H26" s="34">
        <v>4</v>
      </c>
      <c r="I26" s="34">
        <v>4</v>
      </c>
      <c r="J26" s="34">
        <f>Table14[[#This Row],[Matchup Position]]-Table14[[#This Row],[Final Position]]</f>
        <v>0</v>
      </c>
      <c r="K26" s="44" t="s">
        <v>55</v>
      </c>
    </row>
    <row r="27" spans="4:11" ht="19.5" thickBot="1" x14ac:dyDescent="0.25">
      <c r="D27" s="36" t="s">
        <v>0</v>
      </c>
      <c r="E27" s="33">
        <v>8</v>
      </c>
      <c r="F27" s="33">
        <v>8</v>
      </c>
      <c r="G27" s="43">
        <v>16</v>
      </c>
      <c r="H27" s="34">
        <v>5</v>
      </c>
      <c r="I27" s="34">
        <v>5</v>
      </c>
      <c r="J27" s="34">
        <f>Table14[[#This Row],[Matchup Position]]-Table14[[#This Row],[Final Position]]</f>
        <v>0</v>
      </c>
      <c r="K27" s="44" t="s">
        <v>56</v>
      </c>
    </row>
    <row r="28" spans="4:11" ht="19.5" thickBot="1" x14ac:dyDescent="0.25">
      <c r="D28" s="40" t="s">
        <v>1</v>
      </c>
      <c r="E28" s="33">
        <v>7</v>
      </c>
      <c r="F28" s="33">
        <v>7</v>
      </c>
      <c r="G28" s="33">
        <v>14</v>
      </c>
      <c r="H28" s="34">
        <v>7</v>
      </c>
      <c r="I28" s="34">
        <v>6</v>
      </c>
      <c r="J28" s="37">
        <f>Table14[[#This Row],[Matchup Position]]-Table14[[#This Row],[Final Position]]</f>
        <v>1</v>
      </c>
      <c r="K28" s="44"/>
    </row>
    <row r="29" spans="4:11" ht="18.75" x14ac:dyDescent="0.2">
      <c r="D29" s="22" t="s">
        <v>9</v>
      </c>
      <c r="E29" s="23">
        <v>6</v>
      </c>
      <c r="F29" s="23">
        <v>7</v>
      </c>
      <c r="G29" s="46">
        <v>13</v>
      </c>
      <c r="H29" s="24">
        <v>9</v>
      </c>
      <c r="I29" s="24">
        <v>7</v>
      </c>
      <c r="J29" s="25">
        <f>Table14[[#This Row],[Matchup Position]]-Table14[[#This Row],[Final Position]]</f>
        <v>2</v>
      </c>
      <c r="K29" s="45" t="s">
        <v>50</v>
      </c>
    </row>
    <row r="30" spans="4:11" ht="25.5" thickBot="1" x14ac:dyDescent="0.25">
      <c r="D30" s="26" t="s">
        <v>11</v>
      </c>
      <c r="E30" s="23">
        <v>8</v>
      </c>
      <c r="F30" s="23">
        <v>5</v>
      </c>
      <c r="G30" s="47">
        <v>13</v>
      </c>
      <c r="H30" s="24">
        <v>6</v>
      </c>
      <c r="I30" s="24">
        <v>8</v>
      </c>
      <c r="J30" s="27">
        <f>Table14[[#This Row],[Matchup Position]]-Table14[[#This Row],[Final Position]]</f>
        <v>-2</v>
      </c>
      <c r="K30" s="45" t="s">
        <v>51</v>
      </c>
    </row>
    <row r="31" spans="4:11" ht="18.75" x14ac:dyDescent="0.2">
      <c r="D31" s="29" t="s">
        <v>8</v>
      </c>
      <c r="E31" s="23">
        <v>6</v>
      </c>
      <c r="F31" s="23">
        <v>6</v>
      </c>
      <c r="G31" s="46">
        <v>12</v>
      </c>
      <c r="H31" s="24">
        <v>8</v>
      </c>
      <c r="I31" s="24">
        <v>9</v>
      </c>
      <c r="J31" s="27">
        <f>Table14[[#This Row],[Matchup Position]]-Table14[[#This Row],[Final Position]]</f>
        <v>-1</v>
      </c>
      <c r="K31" s="45" t="s">
        <v>52</v>
      </c>
    </row>
    <row r="32" spans="4:11" ht="19.5" thickBot="1" x14ac:dyDescent="0.25">
      <c r="D32" s="28" t="s">
        <v>7</v>
      </c>
      <c r="E32" s="23">
        <v>4</v>
      </c>
      <c r="F32" s="23">
        <v>8</v>
      </c>
      <c r="G32" s="47">
        <v>12</v>
      </c>
      <c r="H32" s="24">
        <v>11</v>
      </c>
      <c r="I32" s="24">
        <v>10</v>
      </c>
      <c r="J32" s="25">
        <f>Table14[[#This Row],[Matchup Position]]-Table14[[#This Row],[Final Position]]</f>
        <v>1</v>
      </c>
      <c r="K32" s="45" t="s">
        <v>53</v>
      </c>
    </row>
    <row r="33" spans="4:11" ht="18.75" x14ac:dyDescent="0.2">
      <c r="D33" s="30" t="s">
        <v>10</v>
      </c>
      <c r="E33" s="23">
        <v>4</v>
      </c>
      <c r="F33" s="23">
        <v>6</v>
      </c>
      <c r="G33" s="23">
        <v>10</v>
      </c>
      <c r="H33" s="24">
        <v>12</v>
      </c>
      <c r="I33" s="24">
        <v>11</v>
      </c>
      <c r="J33" s="25">
        <f>Table14[[#This Row],[Matchup Position]]-Table14[[#This Row],[Final Position]]</f>
        <v>1</v>
      </c>
      <c r="K33" s="45"/>
    </row>
    <row r="34" spans="4:11" ht="18.75" x14ac:dyDescent="0.2">
      <c r="D34" s="31" t="s">
        <v>4</v>
      </c>
      <c r="E34" s="23">
        <v>5</v>
      </c>
      <c r="F34" s="23">
        <v>2</v>
      </c>
      <c r="G34" s="48">
        <v>7</v>
      </c>
      <c r="H34" s="24">
        <v>10</v>
      </c>
      <c r="I34" s="24">
        <v>12</v>
      </c>
      <c r="J34" s="27">
        <f>Table14[[#This Row],[Matchup Position]]-Table14[[#This Row],[Final Position]]</f>
        <v>-2</v>
      </c>
      <c r="K34" s="45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Cheramy</dc:creator>
  <cp:lastModifiedBy>Joseph Cheramy</cp:lastModifiedBy>
  <dcterms:created xsi:type="dcterms:W3CDTF">2015-06-05T18:17:20Z</dcterms:created>
  <dcterms:modified xsi:type="dcterms:W3CDTF">2023-12-13T03:35:58Z</dcterms:modified>
</cp:coreProperties>
</file>